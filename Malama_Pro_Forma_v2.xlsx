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Node_Rollout" sheetId="3" state="visible" r:id="rId5"/>
    <sheet name="Validator_Fees" sheetId="4" state="visible" r:id="rId6"/>
    <sheet name="Revenue_Build" sheetId="5" state="visible" r:id="rId7"/>
    <sheet name="P&amp;L" sheetId="6" state="visible" r:id="rId8"/>
    <sheet name="Use_of_Funds" sheetId="7" state="visible" r:id="rId9"/>
    <sheet name="Scenario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<sst xmlns="http://schemas.openxmlformats.org/spreadsheetml/2006/main" count="215" uniqueCount="179">
  <si>
    <t xml:space="preserve">◆ MĀLAMA LABS</t>
  </si>
  <si>
    <t xml:space="preserve">Pro Forma v2.0</t>
  </si>
  <si>
    <t xml:space="preserve">Aligned to the published V1 document set · launch.malamalabs.com/docs · June 2026</t>
  </si>
  <si>
    <t xml:space="preserve">PURPOSE</t>
  </si>
  <si>
    <t xml:space="preserve">This pro forma models Mālama Labs financials from the canonical V1 economics</t>
  </si>
  <si>
    <t xml:space="preserve">published at launch.malamalabs.com/docs. Every structural input ties to a</t>
  </si>
  <si>
    <t xml:space="preserve">published source. Revenue is presented as scenario estimates, explicitly</t>
  </si>
  <si>
    <t xml:space="preserve">labeled, never as commitments or distribution guidance.</t>
  </si>
  <si>
    <t xml:space="preserve">CANONICAL INPUTS (published, not assumed)</t>
  </si>
  <si>
    <t xml:space="preserve">  Entry price per Hex Node</t>
  </si>
  <si>
    <t xml:space="preserve">$2,000 (one-time)</t>
  </si>
  <si>
    <t xml:space="preserve">  — Hardware component</t>
  </si>
  <si>
    <t xml:space="preserve">$380</t>
  </si>
  <si>
    <t xml:space="preserve">  — Geographic hex license</t>
  </si>
  <si>
    <t xml:space="preserve">$1,620</t>
  </si>
  <si>
    <t xml:space="preserve">  Genesis 200 structure</t>
  </si>
  <si>
    <t xml:space="preserve">195 external + 5 reserved</t>
  </si>
  <si>
    <t xml:space="preserve">  Genesis external raise</t>
  </si>
  <si>
    <t xml:space="preserve">$390,000</t>
  </si>
  <si>
    <t xml:space="preserve">  Hardware ships</t>
  </si>
  <si>
    <t xml:space="preserve">End December 2026</t>
  </si>
  <si>
    <t xml:space="preserve">  Mainnet target</t>
  </si>
  <si>
    <t xml:space="preserve">Q4 2026</t>
  </si>
  <si>
    <t xml:space="preserve">  MLMA per operator</t>
  </si>
  <si>
    <t xml:space="preserve">125,000 (service-conditional)</t>
  </si>
  <si>
    <t xml:space="preserve">  Token hard cap</t>
  </si>
  <si>
    <t xml:space="preserve">500,000,000 MLMA</t>
  </si>
  <si>
    <t xml:space="preserve">  Emissions</t>
  </si>
  <si>
    <t xml:space="preserve">60M over 8-yr taper (12/14/12/9/6/4/2/1M)</t>
  </si>
  <si>
    <t xml:space="preserve">  Revenue split</t>
  </si>
  <si>
    <t xml:space="preserve">45 burn / 20 operators / 15 stakers / 20 Foundation</t>
  </si>
  <si>
    <t xml:space="preserve">  Burn floor</t>
  </si>
  <si>
    <t xml:space="preserve">250M circulating</t>
  </si>
  <si>
    <t xml:space="preserve">REVENUE ARCHITECTURE (per Validator Fees v0.1, DOCS-07)</t>
  </si>
  <si>
    <t xml:space="preserve">Protocol revenue is USDC paid by commercial buyers of hardware-signed data</t>
  </si>
  <si>
    <t xml:space="preserve">across nine verticals. Mālama operates the commercial relationships and the</t>
  </si>
  <si>
    <t xml:space="preserve">network; operators receive validator-fee distributions. The pro forma models</t>
  </si>
  <si>
    <t xml:space="preserve">Mālama's retained protocol revenue plus the hex-license and hardware margin.</t>
  </si>
  <si>
    <t xml:space="preserve">NINE VERTICALS (independent demand drivers)</t>
  </si>
  <si>
    <t xml:space="preserve">Carbon dMRV · AI compute emissions · energy/grid licensing · parametric</t>
  </si>
  <si>
    <t xml:space="preserve">insurance · EUDR supply chain · prediction-market oracle · smart agriculture</t>
  </si>
  <si>
    <t xml:space="preserve">· Smart City/grid · LCO₂/VCO₂ settlement</t>
  </si>
  <si>
    <t xml:space="preserve">TABS</t>
  </si>
  <si>
    <t xml:space="preserve">  Assumptions</t>
  </si>
  <si>
    <t xml:space="preserve">All scenario inputs (blue = editable)</t>
  </si>
  <si>
    <t xml:space="preserve">  Node_Rollout</t>
  </si>
  <si>
    <t xml:space="preserve">Node deployment by cohort and year</t>
  </si>
  <si>
    <t xml:space="preserve">  Validator_Fees</t>
  </si>
  <si>
    <t xml:space="preserve">USDC commercial revenue build, per DOCS-07</t>
  </si>
  <si>
    <t xml:space="preserve">  Revenue_Build</t>
  </si>
  <si>
    <t xml:space="preserve">Mālama retained revenue, three lines</t>
  </si>
  <si>
    <t xml:space="preserve">  P&amp;L</t>
  </si>
  <si>
    <t xml:space="preserve">Five-year P&amp;L, three scenarios</t>
  </si>
  <si>
    <t xml:space="preserve">  Use_of_Funds</t>
  </si>
  <si>
    <t xml:space="preserve">Seed deployment</t>
  </si>
  <si>
    <t xml:space="preserve">  Scenarios</t>
  </si>
  <si>
    <t xml:space="preserve">Bear / Base / Bull summary + valuation</t>
  </si>
  <si>
    <t xml:space="preserve">STAGE-HONESTY</t>
  </si>
  <si>
    <t xml:space="preserve">Settlement and validator-fee revenue is nascent during the Genesis period.</t>
  </si>
  <si>
    <t xml:space="preserve">All forward figures are scenario estimates. Pipeline is modeled as pipeline.</t>
  </si>
  <si>
    <t xml:space="preserve">MLMA is a digital tool under SEC-CFTC Joint Interpretation S7-2026-09, not a</t>
  </si>
  <si>
    <t xml:space="preserve">security. Nothing here is an offer of securities or distribution guidance.</t>
  </si>
  <si>
    <t xml:space="preserve">Assumptions</t>
  </si>
  <si>
    <t xml:space="preserve">Blue = editable input. Black = derived. Change scenario drivers here.</t>
  </si>
  <si>
    <t xml:space="preserve">Driver</t>
  </si>
  <si>
    <t xml:space="preserve">Bear</t>
  </si>
  <si>
    <t xml:space="preserve">Base</t>
  </si>
  <si>
    <t xml:space="preserve">Bull</t>
  </si>
  <si>
    <t xml:space="preserve">Unit / Source</t>
  </si>
  <si>
    <t xml:space="preserve">CANONICAL — fixed (published)</t>
  </si>
  <si>
    <t xml:space="preserve">Entry price per node</t>
  </si>
  <si>
    <t xml:space="preserve">$ · DOCS-02</t>
  </si>
  <si>
    <t xml:space="preserve">Hardware cost in price</t>
  </si>
  <si>
    <t xml:space="preserve">Hex license in price</t>
  </si>
  <si>
    <t xml:space="preserve">Hardware COGS per node</t>
  </si>
  <si>
    <t xml:space="preserve">$ · est. landed</t>
  </si>
  <si>
    <t xml:space="preserve">Genesis external nodes</t>
  </si>
  <si>
    <t xml:space="preserve"># · DOCS-02</t>
  </si>
  <si>
    <t xml:space="preserve">NODE ROLLOUT — scenario</t>
  </si>
  <si>
    <t xml:space="preserve">Genesis Yr1 (2026) nodes</t>
  </si>
  <si>
    <t xml:space="preserve"># cumulative</t>
  </si>
  <si>
    <t xml:space="preserve">Yr2 (2027) nodes</t>
  </si>
  <si>
    <t xml:space="preserve">Yr3 (2028) nodes</t>
  </si>
  <si>
    <t xml:space="preserve">Yr4 (2029) nodes</t>
  </si>
  <si>
    <t xml:space="preserve">Yr5 (2030) nodes</t>
  </si>
  <si>
    <t xml:space="preserve">VALIDATOR FEES — scenario</t>
  </si>
  <si>
    <t xml:space="preserve">Monthly USDC rev / active node Yr1</t>
  </si>
  <si>
    <t xml:space="preserve">$ · DOCS-07 ex.</t>
  </si>
  <si>
    <t xml:space="preserve">Monthly USDC rev / active node Yr3</t>
  </si>
  <si>
    <t xml:space="preserve">$ · scenario</t>
  </si>
  <si>
    <t xml:space="preserve">Monthly USDC rev / active node Yr5</t>
  </si>
  <si>
    <t xml:space="preserve">Mālama protocol take of gross rev</t>
  </si>
  <si>
    <t xml:space="preserve">% · operator split net</t>
  </si>
  <si>
    <t xml:space="preserve">OPEX — scenario</t>
  </si>
  <si>
    <t xml:space="preserve">Team headcount Yr1</t>
  </si>
  <si>
    <t xml:space="preserve"># FTE</t>
  </si>
  <si>
    <t xml:space="preserve">Team headcount Yr5</t>
  </si>
  <si>
    <t xml:space="preserve">Avg fully-loaded cost / FTE</t>
  </si>
  <si>
    <t xml:space="preserve">$ / yr</t>
  </si>
  <si>
    <t xml:space="preserve">Non-payroll opex % of revenue</t>
  </si>
  <si>
    <t xml:space="preserve">%</t>
  </si>
  <si>
    <t xml:space="preserve">VALUATION</t>
  </si>
  <si>
    <t xml:space="preserve">Exit revenue multiple</t>
  </si>
  <si>
    <t xml:space="preserve">x · DePIN comps</t>
  </si>
  <si>
    <t xml:space="preserve">Node Rollout</t>
  </si>
  <si>
    <t xml:space="preserve">Cumulative deployed nodes by scenario. New nodes drive license + hardware revenue.</t>
  </si>
  <si>
    <t xml:space="preserve">Scenario</t>
  </si>
  <si>
    <t xml:space="preserve">2026 (Gen)</t>
  </si>
  <si>
    <t xml:space="preserve">2027</t>
  </si>
  <si>
    <t xml:space="preserve">2028</t>
  </si>
  <si>
    <t xml:space="preserve">2029</t>
  </si>
  <si>
    <t xml:space="preserve">2030</t>
  </si>
  <si>
    <t xml:space="preserve">Bear — cumulative</t>
  </si>
  <si>
    <t xml:space="preserve">Base — cumulative</t>
  </si>
  <si>
    <t xml:space="preserve">Bull — cumulative</t>
  </si>
  <si>
    <t xml:space="preserve">NEW NODES / YEAR (Base)</t>
  </si>
  <si>
    <t xml:space="preserve">New nodes (Base)</t>
  </si>
  <si>
    <t xml:space="preserve">Validator Fees</t>
  </si>
  <si>
    <t xml:space="preserve">Gross USDC commercial revenue (DOCS-07). Per-node monthly fee × active nodes × 12.</t>
  </si>
  <si>
    <t xml:space="preserve">Line (Base case)</t>
  </si>
  <si>
    <t xml:space="preserve">Monthly USDC / active node</t>
  </si>
  <si>
    <t xml:space="preserve">Active nodes (Base, cumulative)</t>
  </si>
  <si>
    <t xml:space="preserve">Gross USDC validator revenue</t>
  </si>
  <si>
    <t xml:space="preserve">Ramp factor applied (deploy-year nodes partial): Yr1 0.55, Yr2 0.80, Yr3+ 0.90</t>
  </si>
  <si>
    <t xml:space="preserve">Revenue Build</t>
  </si>
  <si>
    <t xml:space="preserve">Mālama retained revenue (Base): protocol take + hex-license + hardware margin.</t>
  </si>
  <si>
    <t xml:space="preserve">Revenue line (Base, $)</t>
  </si>
  <si>
    <t xml:space="preserve">Protocol take (validator fees)</t>
  </si>
  <si>
    <t xml:space="preserve">Hex license revenue (new nodes)</t>
  </si>
  <si>
    <t xml:space="preserve">Hardware margin (new nodes)</t>
  </si>
  <si>
    <t xml:space="preserve">Total Mālama revenue</t>
  </si>
  <si>
    <t xml:space="preserve">P&amp;L — Base Case</t>
  </si>
  <si>
    <t xml:space="preserve">Five-year. Revenue from Revenue_Build; opex from Assumptions.</t>
  </si>
  <si>
    <t xml:space="preserve">($)</t>
  </si>
  <si>
    <t xml:space="preserve">Revenue</t>
  </si>
  <si>
    <t xml:space="preserve">Headcount (FTE)</t>
  </si>
  <si>
    <t xml:space="preserve">Payroll</t>
  </si>
  <si>
    <t xml:space="preserve">Non-payroll opex</t>
  </si>
  <si>
    <t xml:space="preserve">EBITDA</t>
  </si>
  <si>
    <t xml:space="preserve">EBITDA margin</t>
  </si>
  <si>
    <t xml:space="preserve">Use of Funds</t>
  </si>
  <si>
    <t xml:space="preserve">Illustrative Seed deployment. Adjust to the actual round size.</t>
  </si>
  <si>
    <t xml:space="preserve">Category</t>
  </si>
  <si>
    <t xml:space="preserve">Allocation %</t>
  </si>
  <si>
    <t xml:space="preserve">Notes</t>
  </si>
  <si>
    <t xml:space="preserve">Engineering &amp; product</t>
  </si>
  <si>
    <t xml:space="preserve">Core protocol, NodeCommand, validator-fee rails</t>
  </si>
  <si>
    <t xml:space="preserve">Hardware &amp; supply chain</t>
  </si>
  <si>
    <t xml:space="preserve">Genesis production, next-cohort tooling, inventory</t>
  </si>
  <si>
    <t xml:space="preserve">Field ops &amp; operator success</t>
  </si>
  <si>
    <t xml:space="preserve">Deployment support, PONO qualification, stewardship</t>
  </si>
  <si>
    <t xml:space="preserve">Commercial &amp; partnerships</t>
  </si>
  <si>
    <t xml:space="preserve">Registry, AI-compute, insurance deal origination</t>
  </si>
  <si>
    <t xml:space="preserve">Regulatory &amp; legal</t>
  </si>
  <si>
    <t xml:space="preserve">Securities, token, registry compliance</t>
  </si>
  <si>
    <t xml:space="preserve">G&amp;A &amp; runway buffer</t>
  </si>
  <si>
    <t xml:space="preserve">Finance, ops, contingency</t>
  </si>
  <si>
    <t xml:space="preserve">Total</t>
  </si>
  <si>
    <t xml:space="preserve">Scenarios</t>
  </si>
  <si>
    <t xml:space="preserve">Year-5 revenue and illustrative valuation across Bear / Base / Bull.</t>
  </si>
  <si>
    <t xml:space="preserve">Metric (Year 5)</t>
  </si>
  <si>
    <t xml:space="preserve">Source</t>
  </si>
  <si>
    <t xml:space="preserve">Cumulative nodes (Yr5)</t>
  </si>
  <si>
    <t xml:space="preserve">Monthly USDC / node (Yr5)</t>
  </si>
  <si>
    <t xml:space="preserve">Gross validator rev (Yr5)</t>
  </si>
  <si>
    <t xml:space="preserve">nodes×fee×12×0.9</t>
  </si>
  <si>
    <t xml:space="preserve">Protocol take</t>
  </si>
  <si>
    <t xml:space="preserve">× take %</t>
  </si>
  <si>
    <t xml:space="preserve">Hex license (Yr5 new)</t>
  </si>
  <si>
    <t xml:space="preserve">new×$1,620</t>
  </si>
  <si>
    <t xml:space="preserve">Hardware margin (Yr5 new)</t>
  </si>
  <si>
    <t xml:space="preserve">new×margin</t>
  </si>
  <si>
    <t xml:space="preserve">Total Mālama rev (Yr5)</t>
  </si>
  <si>
    <t xml:space="preserve">sum</t>
  </si>
  <si>
    <t xml:space="preserve">Exit multiple</t>
  </si>
  <si>
    <t xml:space="preserve">Implied valuation</t>
  </si>
  <si>
    <t xml:space="preserve">rev×multiple</t>
  </si>
  <si>
    <t xml:space="preserve">All three scenarios are illustrative estimates, not commitments. Built on published V1 unit economics.</t>
  </si>
  <si>
    <t xml:space="preserve">Revenue is nascent during Genesis; validator-fee economics scale with commercial adoption (DOCS-07).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</si>
</sst>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\$#,##0"/>
    <numFmt numFmtId="168" formatCode="\$#,##0;&quot;($&quot;#,##0\)"/>
    <numFmt numFmtId="169" formatCode="0.0\x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4F061"/>
      <name val="Arial"/>
      <family val="0"/>
      <charset val="1"/>
    </font>
    <font>
      <b val="true"/>
      <sz val="16"/>
      <color rgb="FFEEF2E8"/>
      <name val="Arial"/>
      <family val="0"/>
      <charset val="1"/>
    </font>
    <font>
      <i val="true"/>
      <sz val="9"/>
      <color rgb="FF9AA495"/>
      <name val="Arial"/>
      <family val="0"/>
      <charset val="1"/>
    </font>
    <font>
      <sz val="10"/>
      <color rgb="FFEEF2E8"/>
      <name val="Arial"/>
      <family val="0"/>
      <charset val="1"/>
    </font>
    <font>
      <b val="true"/>
      <sz val="10"/>
      <color rgb="FFC4F061"/>
      <name val="Arial"/>
      <family val="0"/>
      <charset val="1"/>
    </font>
    <font>
      <sz val="10"/>
      <color rgb="FF9AA495"/>
      <name val="Arial"/>
      <family val="0"/>
      <charset val="1"/>
    </font>
    <font>
      <b val="true"/>
      <sz val="10"/>
      <color rgb="FFEEF2E8"/>
      <name val="Arial"/>
      <family val="0"/>
      <charset val="1"/>
    </font>
    <font>
      <b val="true"/>
      <sz val="9"/>
      <color rgb="FFC4F061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9AA495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9AA495"/>
      <name val="Arial"/>
      <family val="0"/>
      <charset val="1"/>
    </font>
    <font>
      <i val="true"/>
      <sz val="9"/>
      <color rgb="FFF0A86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A0E0A"/>
        <bgColor rgb="FF000000"/>
      </patternFill>
    </fill>
    <fill>
      <patternFill patternType="solid">
        <fgColor rgb="FF161C13"/>
        <bgColor rgb="FF0A0E0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32B1D"/>
      </left>
      <right style="thin">
        <color rgb="FF232B1D"/>
      </right>
      <top style="thin">
        <color rgb="FF232B1D"/>
      </top>
      <bottom style="thin">
        <color rgb="FF232B1D"/>
      </bottom>
      <diagonal/>
    </border>
    <border diagonalUp="false" diagonalDown="false">
      <left/>
      <right/>
      <top style="thin">
        <color rgb="FF232B1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2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0A86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4F06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A495"/>
      <rgbColor rgb="FF003366"/>
      <rgbColor rgb="FF339966"/>
      <rgbColor rgb="FF161C13"/>
      <rgbColor rgb="FF0A0E0A"/>
      <rgbColor rgb="FF993300"/>
      <rgbColor rgb="FF993366"/>
      <rgbColor rgb="FF333399"/>
      <rgbColor rgb="FF232B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9.7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15" hidden="false" customHeight="false" outlineLevel="0" collapsed="false">
      <c r="A5" s="5"/>
      <c r="B5" s="2"/>
      <c r="C5" s="2"/>
      <c r="D5" s="2"/>
      <c r="E5" s="2"/>
      <c r="F5" s="2"/>
      <c r="G5" s="2"/>
      <c r="H5" s="2"/>
      <c r="I5" s="2"/>
      <c r="J5" s="2"/>
      <c r="K5" s="2"/>
    </row>
    <row r="6" customFormat="false" ht="15" hidden="false" customHeight="false" outlineLevel="0" collapsed="false">
      <c r="A6" s="6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customFormat="false" ht="15" hidden="false" customHeight="false" outlineLevel="0" collapsed="false">
      <c r="A7" s="5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customFormat="false" ht="15" hidden="false" customHeight="false" outlineLevel="0" collapsed="false">
      <c r="A8" s="5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15" hidden="false" customHeight="false" outlineLevel="0" collapsed="false">
      <c r="A9" s="5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customFormat="false" ht="15" hidden="false" customHeight="false" outlineLevel="0" collapsed="false">
      <c r="A10" s="5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customFormat="false" ht="15" hidden="false" customHeight="false" outlineLevel="0" collapsed="false">
      <c r="A11" s="5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customFormat="false" ht="15" hidden="false" customHeight="false" outlineLevel="0" collapsed="false">
      <c r="A12" s="5" t="s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customFormat="false" ht="15" hidden="false" customHeight="false" outlineLevel="0" collapsed="false">
      <c r="A13" s="7" t="s">
        <v>9</v>
      </c>
      <c r="B13" s="2"/>
      <c r="C13" s="2"/>
      <c r="D13" s="8" t="s">
        <v>10</v>
      </c>
      <c r="E13" s="2"/>
      <c r="F13" s="2"/>
      <c r="G13" s="2"/>
      <c r="H13" s="2"/>
      <c r="I13" s="2"/>
      <c r="J13" s="2"/>
      <c r="K13" s="2"/>
    </row>
    <row r="14" customFormat="false" ht="15" hidden="false" customHeight="false" outlineLevel="0" collapsed="false">
      <c r="A14" s="7" t="s">
        <v>11</v>
      </c>
      <c r="B14" s="2"/>
      <c r="C14" s="2"/>
      <c r="D14" s="8" t="s">
        <v>12</v>
      </c>
      <c r="E14" s="2"/>
      <c r="F14" s="2"/>
      <c r="G14" s="2"/>
      <c r="H14" s="2"/>
      <c r="I14" s="2"/>
      <c r="J14" s="2"/>
      <c r="K14" s="2"/>
    </row>
    <row r="15" customFormat="false" ht="15" hidden="false" customHeight="false" outlineLevel="0" collapsed="false">
      <c r="A15" s="7" t="s">
        <v>13</v>
      </c>
      <c r="B15" s="2"/>
      <c r="C15" s="2"/>
      <c r="D15" s="8" t="s">
        <v>14</v>
      </c>
      <c r="E15" s="2"/>
      <c r="F15" s="2"/>
      <c r="G15" s="2"/>
      <c r="H15" s="2"/>
      <c r="I15" s="2"/>
      <c r="J15" s="2"/>
      <c r="K15" s="2"/>
    </row>
    <row r="16" customFormat="false" ht="15" hidden="false" customHeight="false" outlineLevel="0" collapsed="false">
      <c r="A16" s="7" t="s">
        <v>15</v>
      </c>
      <c r="B16" s="2"/>
      <c r="C16" s="2"/>
      <c r="D16" s="8" t="s">
        <v>16</v>
      </c>
      <c r="E16" s="2"/>
      <c r="F16" s="2"/>
      <c r="G16" s="2"/>
      <c r="H16" s="2"/>
      <c r="I16" s="2"/>
      <c r="J16" s="2"/>
      <c r="K16" s="2"/>
    </row>
    <row r="17" customFormat="false" ht="15" hidden="false" customHeight="false" outlineLevel="0" collapsed="false">
      <c r="A17" s="7" t="s">
        <v>17</v>
      </c>
      <c r="B17" s="2"/>
      <c r="C17" s="2"/>
      <c r="D17" s="8" t="s">
        <v>18</v>
      </c>
      <c r="E17" s="2"/>
      <c r="F17" s="2"/>
      <c r="G17" s="2"/>
      <c r="H17" s="2"/>
      <c r="I17" s="2"/>
      <c r="J17" s="2"/>
      <c r="K17" s="2"/>
    </row>
    <row r="18" customFormat="false" ht="15" hidden="false" customHeight="false" outlineLevel="0" collapsed="false">
      <c r="A18" s="7" t="s">
        <v>19</v>
      </c>
      <c r="B18" s="2"/>
      <c r="C18" s="2"/>
      <c r="D18" s="8" t="s">
        <v>20</v>
      </c>
      <c r="E18" s="2"/>
      <c r="F18" s="2"/>
      <c r="G18" s="2"/>
      <c r="H18" s="2"/>
      <c r="I18" s="2"/>
      <c r="J18" s="2"/>
      <c r="K18" s="2"/>
    </row>
    <row r="19" customFormat="false" ht="15" hidden="false" customHeight="false" outlineLevel="0" collapsed="false">
      <c r="A19" s="7" t="s">
        <v>21</v>
      </c>
      <c r="B19" s="2"/>
      <c r="C19" s="2"/>
      <c r="D19" s="8" t="s">
        <v>22</v>
      </c>
      <c r="E19" s="2"/>
      <c r="F19" s="2"/>
      <c r="G19" s="2"/>
      <c r="H19" s="2"/>
      <c r="I19" s="2"/>
      <c r="J19" s="2"/>
      <c r="K19" s="2"/>
    </row>
    <row r="20" customFormat="false" ht="15" hidden="false" customHeight="false" outlineLevel="0" collapsed="false">
      <c r="A20" s="7" t="s">
        <v>23</v>
      </c>
      <c r="B20" s="2"/>
      <c r="C20" s="2"/>
      <c r="D20" s="8" t="s">
        <v>24</v>
      </c>
      <c r="E20" s="2"/>
      <c r="F20" s="2"/>
      <c r="G20" s="2"/>
      <c r="H20" s="2"/>
      <c r="I20" s="2"/>
      <c r="J20" s="2"/>
      <c r="K20" s="2"/>
    </row>
    <row r="21" customFormat="false" ht="15" hidden="false" customHeight="false" outlineLevel="0" collapsed="false">
      <c r="A21" s="7" t="s">
        <v>25</v>
      </c>
      <c r="B21" s="2"/>
      <c r="C21" s="2"/>
      <c r="D21" s="8" t="s">
        <v>26</v>
      </c>
      <c r="E21" s="2"/>
      <c r="F21" s="2"/>
      <c r="G21" s="2"/>
      <c r="H21" s="2"/>
      <c r="I21" s="2"/>
      <c r="J21" s="2"/>
      <c r="K21" s="2"/>
    </row>
    <row r="22" customFormat="false" ht="15" hidden="false" customHeight="false" outlineLevel="0" collapsed="false">
      <c r="A22" s="7" t="s">
        <v>27</v>
      </c>
      <c r="B22" s="2"/>
      <c r="C22" s="2"/>
      <c r="D22" s="8" t="s">
        <v>28</v>
      </c>
      <c r="E22" s="2"/>
      <c r="F22" s="2"/>
      <c r="G22" s="2"/>
      <c r="H22" s="2"/>
      <c r="I22" s="2"/>
      <c r="J22" s="2"/>
      <c r="K22" s="2"/>
    </row>
    <row r="23" customFormat="false" ht="15" hidden="false" customHeight="false" outlineLevel="0" collapsed="false">
      <c r="A23" s="7" t="s">
        <v>29</v>
      </c>
      <c r="B23" s="2"/>
      <c r="C23" s="2"/>
      <c r="D23" s="8" t="s">
        <v>30</v>
      </c>
      <c r="E23" s="2"/>
      <c r="F23" s="2"/>
      <c r="G23" s="2"/>
      <c r="H23" s="2"/>
      <c r="I23" s="2"/>
      <c r="J23" s="2"/>
      <c r="K23" s="2"/>
    </row>
    <row r="24" customFormat="false" ht="15" hidden="false" customHeight="false" outlineLevel="0" collapsed="false">
      <c r="A24" s="7" t="s">
        <v>31</v>
      </c>
      <c r="B24" s="2"/>
      <c r="C24" s="2"/>
      <c r="D24" s="8" t="s">
        <v>32</v>
      </c>
      <c r="E24" s="2"/>
      <c r="F24" s="2"/>
      <c r="G24" s="2"/>
      <c r="H24" s="2"/>
      <c r="I24" s="2"/>
      <c r="J24" s="2"/>
      <c r="K24" s="2"/>
    </row>
    <row r="25" customFormat="false" ht="15" hidden="false" customHeight="false" outlineLevel="0" collapsed="false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customFormat="false" ht="15" hidden="false" customHeight="false" outlineLevel="0" collapsed="false">
      <c r="A26" s="5" t="s">
        <v>33</v>
      </c>
      <c r="B26" s="2"/>
      <c r="C26" s="2"/>
      <c r="D26" s="2"/>
      <c r="E26" s="2"/>
      <c r="F26" s="2"/>
      <c r="G26" s="2"/>
      <c r="H26" s="2"/>
      <c r="I26" s="2"/>
      <c r="J26" s="2"/>
      <c r="K26" s="2"/>
    </row>
    <row r="27" customFormat="false" ht="15" hidden="false" customHeight="false" outlineLevel="0" collapsed="false">
      <c r="A27" s="5" t="s">
        <v>34</v>
      </c>
      <c r="B27" s="2"/>
      <c r="C27" s="2"/>
      <c r="D27" s="2"/>
      <c r="E27" s="2"/>
      <c r="F27" s="2"/>
      <c r="G27" s="2"/>
      <c r="H27" s="2"/>
      <c r="I27" s="2"/>
      <c r="J27" s="2"/>
      <c r="K27" s="2"/>
    </row>
    <row r="28" customFormat="false" ht="15" hidden="false" customHeight="false" outlineLevel="0" collapsed="false">
      <c r="A28" s="5" t="s">
        <v>35</v>
      </c>
      <c r="B28" s="2"/>
      <c r="C28" s="2"/>
      <c r="D28" s="2"/>
      <c r="E28" s="2"/>
      <c r="F28" s="2"/>
      <c r="G28" s="2"/>
      <c r="H28" s="2"/>
      <c r="I28" s="2"/>
      <c r="J28" s="2"/>
      <c r="K28" s="2"/>
    </row>
    <row r="29" customFormat="false" ht="15" hidden="false" customHeight="false" outlineLevel="0" collapsed="false">
      <c r="A29" s="5" t="s">
        <v>36</v>
      </c>
      <c r="B29" s="2"/>
      <c r="C29" s="2"/>
      <c r="D29" s="2"/>
      <c r="E29" s="2"/>
      <c r="F29" s="2"/>
      <c r="G29" s="2"/>
      <c r="H29" s="2"/>
      <c r="I29" s="2"/>
      <c r="J29" s="2"/>
      <c r="K29" s="2"/>
    </row>
    <row r="30" customFormat="false" ht="15" hidden="false" customHeight="false" outlineLevel="0" collapsed="false">
      <c r="A30" s="5" t="s">
        <v>37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5" hidden="false" customHeight="false" outlineLevel="0" collapsed="false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customFormat="false" ht="15" hidden="false" customHeight="false" outlineLevel="0" collapsed="false">
      <c r="A32" s="5" t="s">
        <v>38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customFormat="false" ht="15" hidden="false" customHeight="false" outlineLevel="0" collapsed="false">
      <c r="A33" s="5" t="s">
        <v>39</v>
      </c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15" hidden="false" customHeight="false" outlineLevel="0" collapsed="false">
      <c r="A34" s="5" t="s">
        <v>40</v>
      </c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15" hidden="false" customHeight="false" outlineLevel="0" collapsed="false">
      <c r="A35" s="5" t="s">
        <v>41</v>
      </c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15" hidden="false" customHeight="false" outlineLevel="0" collapsed="false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15" hidden="false" customHeight="false" outlineLevel="0" collapsed="false">
      <c r="A37" s="6" t="s">
        <v>42</v>
      </c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15" hidden="false" customHeight="false" outlineLevel="0" collapsed="false">
      <c r="A38" s="7" t="s">
        <v>43</v>
      </c>
      <c r="B38" s="2"/>
      <c r="C38" s="2"/>
      <c r="D38" s="8" t="s">
        <v>44</v>
      </c>
      <c r="E38" s="2"/>
      <c r="F38" s="2"/>
      <c r="G38" s="2"/>
      <c r="H38" s="2"/>
      <c r="I38" s="2"/>
      <c r="J38" s="2"/>
      <c r="K38" s="2"/>
    </row>
    <row r="39" customFormat="false" ht="15" hidden="false" customHeight="false" outlineLevel="0" collapsed="false">
      <c r="A39" s="7" t="s">
        <v>45</v>
      </c>
      <c r="B39" s="2"/>
      <c r="C39" s="2"/>
      <c r="D39" s="8" t="s">
        <v>46</v>
      </c>
      <c r="E39" s="2"/>
      <c r="F39" s="2"/>
      <c r="G39" s="2"/>
      <c r="H39" s="2"/>
      <c r="I39" s="2"/>
      <c r="J39" s="2"/>
      <c r="K39" s="2"/>
    </row>
    <row r="40" customFormat="false" ht="15" hidden="false" customHeight="false" outlineLevel="0" collapsed="false">
      <c r="A40" s="7" t="s">
        <v>47</v>
      </c>
      <c r="B40" s="2"/>
      <c r="C40" s="2"/>
      <c r="D40" s="8" t="s">
        <v>48</v>
      </c>
      <c r="E40" s="2"/>
      <c r="F40" s="2"/>
      <c r="G40" s="2"/>
      <c r="H40" s="2"/>
      <c r="I40" s="2"/>
      <c r="J40" s="2"/>
      <c r="K40" s="2"/>
    </row>
    <row r="41" customFormat="false" ht="15" hidden="false" customHeight="false" outlineLevel="0" collapsed="false">
      <c r="A41" s="7" t="s">
        <v>49</v>
      </c>
      <c r="B41" s="2"/>
      <c r="C41" s="2"/>
      <c r="D41" s="8" t="s">
        <v>50</v>
      </c>
      <c r="E41" s="2"/>
      <c r="F41" s="2"/>
      <c r="G41" s="2"/>
      <c r="H41" s="2"/>
      <c r="I41" s="2"/>
      <c r="J41" s="2"/>
      <c r="K41" s="2"/>
    </row>
    <row r="42" customFormat="false" ht="15" hidden="false" customHeight="false" outlineLevel="0" collapsed="false">
      <c r="A42" s="7" t="s">
        <v>51</v>
      </c>
      <c r="B42" s="2"/>
      <c r="C42" s="2"/>
      <c r="D42" s="8" t="s">
        <v>52</v>
      </c>
      <c r="E42" s="2"/>
      <c r="F42" s="2"/>
      <c r="G42" s="2"/>
      <c r="H42" s="2"/>
      <c r="I42" s="2"/>
      <c r="J42" s="2"/>
      <c r="K42" s="2"/>
    </row>
    <row r="43" customFormat="false" ht="15" hidden="false" customHeight="false" outlineLevel="0" collapsed="false">
      <c r="A43" s="7" t="s">
        <v>53</v>
      </c>
      <c r="B43" s="2"/>
      <c r="C43" s="2"/>
      <c r="D43" s="8" t="s">
        <v>54</v>
      </c>
      <c r="E43" s="2"/>
      <c r="F43" s="2"/>
      <c r="G43" s="2"/>
      <c r="H43" s="2"/>
      <c r="I43" s="2"/>
      <c r="J43" s="2"/>
      <c r="K43" s="2"/>
    </row>
    <row r="44" customFormat="false" ht="15" hidden="false" customHeight="false" outlineLevel="0" collapsed="false">
      <c r="A44" s="7" t="s">
        <v>55</v>
      </c>
      <c r="B44" s="2"/>
      <c r="C44" s="2"/>
      <c r="D44" s="8" t="s">
        <v>56</v>
      </c>
      <c r="E44" s="2"/>
      <c r="F44" s="2"/>
      <c r="G44" s="2"/>
      <c r="H44" s="2"/>
      <c r="I44" s="2"/>
      <c r="J44" s="2"/>
      <c r="K44" s="2"/>
    </row>
    <row r="45" customFormat="false" ht="15" hidden="false" customHeight="false" outlineLevel="0" collapsed="false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15" hidden="false" customHeight="false" outlineLevel="0" collapsed="false">
      <c r="A46" s="6" t="s">
        <v>57</v>
      </c>
      <c r="B46" s="2"/>
      <c r="C46" s="2"/>
      <c r="D46" s="2"/>
      <c r="E46" s="2"/>
      <c r="F46" s="2"/>
      <c r="G46" s="2"/>
      <c r="H46" s="2"/>
      <c r="I46" s="2"/>
      <c r="J46" s="2"/>
      <c r="K46" s="2"/>
    </row>
    <row r="47" customFormat="false" ht="15" hidden="false" customHeight="false" outlineLevel="0" collapsed="false">
      <c r="A47" s="5" t="s">
        <v>58</v>
      </c>
      <c r="B47" s="2"/>
      <c r="C47" s="2"/>
      <c r="D47" s="2"/>
      <c r="E47" s="2"/>
      <c r="F47" s="2"/>
      <c r="G47" s="2"/>
      <c r="H47" s="2"/>
      <c r="I47" s="2"/>
      <c r="J47" s="2"/>
      <c r="K47" s="2"/>
    </row>
    <row r="48" customFormat="false" ht="15" hidden="false" customHeight="false" outlineLevel="0" collapsed="false">
      <c r="A48" s="5" t="s">
        <v>59</v>
      </c>
      <c r="B48" s="2"/>
      <c r="C48" s="2"/>
      <c r="D48" s="2"/>
      <c r="E48" s="2"/>
      <c r="F48" s="2"/>
      <c r="G48" s="2"/>
      <c r="H48" s="2"/>
      <c r="I48" s="2"/>
      <c r="J48" s="2"/>
      <c r="K48" s="2"/>
    </row>
    <row r="49" customFormat="false" ht="15" hidden="false" customHeight="false" outlineLevel="0" collapsed="false">
      <c r="A49" s="5" t="s">
        <v>60</v>
      </c>
      <c r="B49" s="2"/>
      <c r="C49" s="2"/>
      <c r="D49" s="2"/>
      <c r="E49" s="2"/>
      <c r="F49" s="2"/>
      <c r="G49" s="2"/>
      <c r="H49" s="2"/>
      <c r="I49" s="2"/>
      <c r="J49" s="2"/>
      <c r="K49" s="2"/>
    </row>
    <row r="50" customFormat="false" ht="15" hidden="false" customHeight="false" outlineLevel="0" collapsed="false">
      <c r="A50" s="5" t="s">
        <v>61</v>
      </c>
      <c r="B50" s="2"/>
      <c r="C50" s="2"/>
      <c r="D50" s="2"/>
      <c r="E50" s="2"/>
      <c r="F50" s="2"/>
      <c r="G50" s="2"/>
      <c r="H50" s="2"/>
      <c r="I50" s="2"/>
      <c r="J50" s="2"/>
      <c r="K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9.7" hidden="false" customHeight="false" outlineLevel="0" collapsed="false">
      <c r="A2" s="3" t="s">
        <v>62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4" t="s">
        <v>63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9" t="s">
        <v>64</v>
      </c>
      <c r="B5" s="9" t="s">
        <v>65</v>
      </c>
      <c r="C5" s="9" t="s">
        <v>66</v>
      </c>
      <c r="D5" s="9" t="s">
        <v>67</v>
      </c>
      <c r="E5" s="9" t="s">
        <v>68</v>
      </c>
      <c r="F5" s="2"/>
      <c r="G5" s="2"/>
      <c r="H5" s="2"/>
      <c r="I5" s="2"/>
    </row>
    <row r="6" customFormat="false" ht="15" hidden="false" customHeight="false" outlineLevel="0" collapsed="false">
      <c r="A6" s="10" t="s">
        <v>69</v>
      </c>
      <c r="B6" s="11"/>
      <c r="C6" s="11"/>
      <c r="D6" s="11"/>
      <c r="E6" s="11"/>
      <c r="F6" s="2"/>
      <c r="G6" s="2"/>
      <c r="H6" s="2"/>
      <c r="I6" s="2"/>
    </row>
    <row r="7" customFormat="false" ht="15" hidden="false" customHeight="false" outlineLevel="0" collapsed="false">
      <c r="A7" s="5" t="s">
        <v>70</v>
      </c>
      <c r="B7" s="12" t="n">
        <v>2000</v>
      </c>
      <c r="C7" s="12" t="n">
        <v>2000</v>
      </c>
      <c r="D7" s="12" t="n">
        <v>2000</v>
      </c>
      <c r="E7" s="13" t="s">
        <v>71</v>
      </c>
      <c r="F7" s="2"/>
      <c r="G7" s="2"/>
      <c r="H7" s="2"/>
      <c r="I7" s="2"/>
    </row>
    <row r="8" customFormat="false" ht="15" hidden="false" customHeight="false" outlineLevel="0" collapsed="false">
      <c r="A8" s="5" t="s">
        <v>72</v>
      </c>
      <c r="B8" s="14" t="n">
        <v>380</v>
      </c>
      <c r="C8" s="14" t="n">
        <v>380</v>
      </c>
      <c r="D8" s="14" t="n">
        <v>380</v>
      </c>
      <c r="E8" s="13" t="s">
        <v>71</v>
      </c>
      <c r="F8" s="2"/>
      <c r="G8" s="2"/>
      <c r="H8" s="2"/>
      <c r="I8" s="2"/>
    </row>
    <row r="9" customFormat="false" ht="15" hidden="false" customHeight="false" outlineLevel="0" collapsed="false">
      <c r="A9" s="5" t="s">
        <v>73</v>
      </c>
      <c r="B9" s="12" t="n">
        <v>1620</v>
      </c>
      <c r="C9" s="12" t="n">
        <v>1620</v>
      </c>
      <c r="D9" s="12" t="n">
        <v>1620</v>
      </c>
      <c r="E9" s="13" t="s">
        <v>71</v>
      </c>
      <c r="F9" s="2"/>
      <c r="G9" s="2"/>
      <c r="H9" s="2"/>
      <c r="I9" s="2"/>
    </row>
    <row r="10" customFormat="false" ht="15" hidden="false" customHeight="false" outlineLevel="0" collapsed="false">
      <c r="A10" s="5" t="s">
        <v>74</v>
      </c>
      <c r="B10" s="14" t="n">
        <v>300</v>
      </c>
      <c r="C10" s="14" t="n">
        <v>285</v>
      </c>
      <c r="D10" s="14" t="n">
        <v>270</v>
      </c>
      <c r="E10" s="13" t="s">
        <v>75</v>
      </c>
      <c r="F10" s="2"/>
      <c r="G10" s="2"/>
      <c r="H10" s="2"/>
      <c r="I10" s="2"/>
    </row>
    <row r="11" customFormat="false" ht="15" hidden="false" customHeight="false" outlineLevel="0" collapsed="false">
      <c r="A11" s="5" t="s">
        <v>76</v>
      </c>
      <c r="B11" s="14" t="n">
        <v>195</v>
      </c>
      <c r="C11" s="14" t="n">
        <v>195</v>
      </c>
      <c r="D11" s="14" t="n">
        <v>195</v>
      </c>
      <c r="E11" s="13" t="s">
        <v>77</v>
      </c>
      <c r="F11" s="2"/>
      <c r="G11" s="2"/>
      <c r="H11" s="2"/>
      <c r="I11" s="2"/>
    </row>
    <row r="12" customFormat="false" ht="15" hidden="false" customHeight="false" outlineLevel="0" collapsed="false">
      <c r="A12" s="8"/>
      <c r="B12" s="2"/>
      <c r="C12" s="2"/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10" t="s">
        <v>78</v>
      </c>
      <c r="B13" s="11"/>
      <c r="C13" s="11"/>
      <c r="D13" s="11"/>
      <c r="E13" s="11"/>
      <c r="F13" s="2"/>
      <c r="G13" s="2"/>
      <c r="H13" s="2"/>
      <c r="I13" s="2"/>
    </row>
    <row r="14" customFormat="false" ht="15" hidden="false" customHeight="false" outlineLevel="0" collapsed="false">
      <c r="A14" s="5" t="s">
        <v>79</v>
      </c>
      <c r="B14" s="14" t="n">
        <v>195</v>
      </c>
      <c r="C14" s="14" t="n">
        <v>195</v>
      </c>
      <c r="D14" s="14" t="n">
        <v>195</v>
      </c>
      <c r="E14" s="13" t="s">
        <v>80</v>
      </c>
      <c r="F14" s="2"/>
      <c r="G14" s="2"/>
      <c r="H14" s="2"/>
      <c r="I14" s="2"/>
    </row>
    <row r="15" customFormat="false" ht="15" hidden="false" customHeight="false" outlineLevel="0" collapsed="false">
      <c r="A15" s="5" t="s">
        <v>81</v>
      </c>
      <c r="B15" s="14" t="n">
        <v>600</v>
      </c>
      <c r="C15" s="12" t="n">
        <v>1200</v>
      </c>
      <c r="D15" s="12" t="n">
        <v>2000</v>
      </c>
      <c r="E15" s="13" t="s">
        <v>80</v>
      </c>
      <c r="F15" s="2"/>
      <c r="G15" s="2"/>
      <c r="H15" s="2"/>
      <c r="I15" s="2"/>
    </row>
    <row r="16" customFormat="false" ht="15" hidden="false" customHeight="false" outlineLevel="0" collapsed="false">
      <c r="A16" s="5" t="s">
        <v>82</v>
      </c>
      <c r="B16" s="12" t="n">
        <v>1500</v>
      </c>
      <c r="C16" s="12" t="n">
        <v>3500</v>
      </c>
      <c r="D16" s="12" t="n">
        <v>6000</v>
      </c>
      <c r="E16" s="13" t="s">
        <v>80</v>
      </c>
      <c r="F16" s="2"/>
      <c r="G16" s="2"/>
      <c r="H16" s="2"/>
      <c r="I16" s="2"/>
    </row>
    <row r="17" customFormat="false" ht="15" hidden="false" customHeight="false" outlineLevel="0" collapsed="false">
      <c r="A17" s="5" t="s">
        <v>83</v>
      </c>
      <c r="B17" s="12" t="n">
        <v>3500</v>
      </c>
      <c r="C17" s="12" t="n">
        <v>8000</v>
      </c>
      <c r="D17" s="12" t="n">
        <v>14000</v>
      </c>
      <c r="E17" s="13" t="s">
        <v>80</v>
      </c>
      <c r="F17" s="2"/>
      <c r="G17" s="2"/>
      <c r="H17" s="2"/>
      <c r="I17" s="2"/>
    </row>
    <row r="18" customFormat="false" ht="15" hidden="false" customHeight="false" outlineLevel="0" collapsed="false">
      <c r="A18" s="5" t="s">
        <v>84</v>
      </c>
      <c r="B18" s="12" t="n">
        <v>7000</v>
      </c>
      <c r="C18" s="12" t="n">
        <v>16000</v>
      </c>
      <c r="D18" s="12" t="n">
        <v>28000</v>
      </c>
      <c r="E18" s="13" t="s">
        <v>80</v>
      </c>
      <c r="F18" s="2"/>
      <c r="G18" s="2"/>
      <c r="H18" s="2"/>
      <c r="I18" s="2"/>
    </row>
    <row r="19" customFormat="false" ht="15" hidden="false" customHeight="false" outlineLevel="0" collapsed="false">
      <c r="A19" s="8"/>
      <c r="B19" s="2"/>
      <c r="C19" s="2"/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10" t="s">
        <v>85</v>
      </c>
      <c r="B20" s="11"/>
      <c r="C20" s="11"/>
      <c r="D20" s="11"/>
      <c r="E20" s="11"/>
      <c r="F20" s="2"/>
      <c r="G20" s="2"/>
      <c r="H20" s="2"/>
      <c r="I20" s="2"/>
    </row>
    <row r="21" customFormat="false" ht="15" hidden="false" customHeight="false" outlineLevel="0" collapsed="false">
      <c r="A21" s="5" t="s">
        <v>86</v>
      </c>
      <c r="B21" s="14" t="n">
        <v>40</v>
      </c>
      <c r="C21" s="14" t="n">
        <v>60</v>
      </c>
      <c r="D21" s="14" t="n">
        <v>90</v>
      </c>
      <c r="E21" s="13" t="s">
        <v>87</v>
      </c>
      <c r="F21" s="2"/>
      <c r="G21" s="2"/>
      <c r="H21" s="2"/>
      <c r="I21" s="2"/>
    </row>
    <row r="22" customFormat="false" ht="15" hidden="false" customHeight="false" outlineLevel="0" collapsed="false">
      <c r="A22" s="5" t="s">
        <v>88</v>
      </c>
      <c r="B22" s="14" t="n">
        <v>120</v>
      </c>
      <c r="C22" s="14" t="n">
        <v>200</v>
      </c>
      <c r="D22" s="14" t="n">
        <v>320</v>
      </c>
      <c r="E22" s="13" t="s">
        <v>89</v>
      </c>
      <c r="F22" s="2"/>
      <c r="G22" s="2"/>
      <c r="H22" s="2"/>
      <c r="I22" s="2"/>
    </row>
    <row r="23" customFormat="false" ht="15" hidden="false" customHeight="false" outlineLevel="0" collapsed="false">
      <c r="A23" s="5" t="s">
        <v>90</v>
      </c>
      <c r="B23" s="14" t="n">
        <v>260</v>
      </c>
      <c r="C23" s="14" t="n">
        <v>420</v>
      </c>
      <c r="D23" s="14" t="n">
        <v>650</v>
      </c>
      <c r="E23" s="13" t="s">
        <v>89</v>
      </c>
      <c r="F23" s="2"/>
      <c r="G23" s="2"/>
      <c r="H23" s="2"/>
      <c r="I23" s="2"/>
    </row>
    <row r="24" customFormat="false" ht="15" hidden="false" customHeight="false" outlineLevel="0" collapsed="false">
      <c r="A24" s="5" t="s">
        <v>91</v>
      </c>
      <c r="B24" s="15" t="n">
        <v>0.3</v>
      </c>
      <c r="C24" s="15" t="n">
        <v>0.35</v>
      </c>
      <c r="D24" s="15" t="n">
        <v>0.4</v>
      </c>
      <c r="E24" s="13" t="s">
        <v>92</v>
      </c>
      <c r="F24" s="2"/>
      <c r="G24" s="2"/>
      <c r="H24" s="2"/>
      <c r="I24" s="2"/>
    </row>
    <row r="25" customFormat="false" ht="15" hidden="false" customHeight="false" outlineLevel="0" collapsed="false">
      <c r="A25" s="8"/>
      <c r="B25" s="2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10" t="s">
        <v>93</v>
      </c>
      <c r="B26" s="11"/>
      <c r="C26" s="11"/>
      <c r="D26" s="11"/>
      <c r="E26" s="11"/>
      <c r="F26" s="2"/>
      <c r="G26" s="2"/>
      <c r="H26" s="2"/>
      <c r="I26" s="2"/>
    </row>
    <row r="27" customFormat="false" ht="15" hidden="false" customHeight="false" outlineLevel="0" collapsed="false">
      <c r="A27" s="5" t="s">
        <v>94</v>
      </c>
      <c r="B27" s="14" t="n">
        <v>8</v>
      </c>
      <c r="C27" s="14" t="n">
        <v>8</v>
      </c>
      <c r="D27" s="14" t="n">
        <v>8</v>
      </c>
      <c r="E27" s="13" t="s">
        <v>95</v>
      </c>
      <c r="F27" s="2"/>
      <c r="G27" s="2"/>
      <c r="H27" s="2"/>
      <c r="I27" s="2"/>
    </row>
    <row r="28" customFormat="false" ht="15" hidden="false" customHeight="false" outlineLevel="0" collapsed="false">
      <c r="A28" s="5" t="s">
        <v>96</v>
      </c>
      <c r="B28" s="14" t="n">
        <v>25</v>
      </c>
      <c r="C28" s="14" t="n">
        <v>40</v>
      </c>
      <c r="D28" s="14" t="n">
        <v>60</v>
      </c>
      <c r="E28" s="13" t="s">
        <v>95</v>
      </c>
      <c r="F28" s="2"/>
      <c r="G28" s="2"/>
      <c r="H28" s="2"/>
      <c r="I28" s="2"/>
    </row>
    <row r="29" customFormat="false" ht="15" hidden="false" customHeight="false" outlineLevel="0" collapsed="false">
      <c r="A29" s="5" t="s">
        <v>97</v>
      </c>
      <c r="B29" s="12" t="n">
        <v>165000</v>
      </c>
      <c r="C29" s="12" t="n">
        <v>175000</v>
      </c>
      <c r="D29" s="12" t="n">
        <v>185000</v>
      </c>
      <c r="E29" s="13" t="s">
        <v>98</v>
      </c>
      <c r="F29" s="2"/>
      <c r="G29" s="2"/>
      <c r="H29" s="2"/>
      <c r="I29" s="2"/>
    </row>
    <row r="30" customFormat="false" ht="15" hidden="false" customHeight="false" outlineLevel="0" collapsed="false">
      <c r="A30" s="5" t="s">
        <v>99</v>
      </c>
      <c r="B30" s="15" t="n">
        <v>0.35</v>
      </c>
      <c r="C30" s="15" t="n">
        <v>0.3</v>
      </c>
      <c r="D30" s="15" t="n">
        <v>0.25</v>
      </c>
      <c r="E30" s="13" t="s">
        <v>100</v>
      </c>
      <c r="F30" s="2"/>
      <c r="G30" s="2"/>
      <c r="H30" s="2"/>
      <c r="I30" s="2"/>
    </row>
    <row r="31" customFormat="false" ht="15" hidden="false" customHeight="false" outlineLevel="0" collapsed="false">
      <c r="A31" s="8"/>
      <c r="B31" s="2"/>
      <c r="C31" s="2"/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10" t="s">
        <v>101</v>
      </c>
      <c r="B32" s="11"/>
      <c r="C32" s="11"/>
      <c r="D32" s="11"/>
      <c r="E32" s="11"/>
      <c r="F32" s="2"/>
      <c r="G32" s="2"/>
      <c r="H32" s="2"/>
      <c r="I32" s="2"/>
    </row>
    <row r="33" customFormat="false" ht="15" hidden="false" customHeight="false" outlineLevel="0" collapsed="false">
      <c r="A33" s="5" t="s">
        <v>102</v>
      </c>
      <c r="B33" s="14" t="n">
        <v>10</v>
      </c>
      <c r="C33" s="14" t="n">
        <v>12</v>
      </c>
      <c r="D33" s="14" t="n">
        <v>15</v>
      </c>
      <c r="E33" s="13" t="s">
        <v>103</v>
      </c>
      <c r="F33" s="2"/>
      <c r="G33" s="2"/>
      <c r="H33" s="2"/>
      <c r="I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3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9.7" hidden="false" customHeight="false" outlineLevel="0" collapsed="false">
      <c r="A2" s="3" t="s">
        <v>104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4" t="s">
        <v>105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16" t="s">
        <v>106</v>
      </c>
      <c r="B5" s="16" t="s">
        <v>107</v>
      </c>
      <c r="C5" s="16" t="s">
        <v>108</v>
      </c>
      <c r="D5" s="16" t="s">
        <v>109</v>
      </c>
      <c r="E5" s="16" t="s">
        <v>110</v>
      </c>
      <c r="F5" s="16" t="s">
        <v>111</v>
      </c>
      <c r="G5" s="2"/>
      <c r="H5" s="2"/>
      <c r="I5" s="2"/>
    </row>
    <row r="6" customFormat="false" ht="15" hidden="false" customHeight="false" outlineLevel="0" collapsed="false">
      <c r="A6" s="5" t="s">
        <v>112</v>
      </c>
      <c r="B6" s="17" t="n">
        <f aca="false">Assumptions!B14</f>
        <v>195</v>
      </c>
      <c r="C6" s="17" t="n">
        <f aca="false">Assumptions!B15</f>
        <v>600</v>
      </c>
      <c r="D6" s="17" t="n">
        <f aca="false">Assumptions!B16</f>
        <v>1500</v>
      </c>
      <c r="E6" s="17" t="n">
        <f aca="false">Assumptions!B17</f>
        <v>3500</v>
      </c>
      <c r="F6" s="17" t="n">
        <f aca="false">Assumptions!B18</f>
        <v>7000</v>
      </c>
      <c r="G6" s="2"/>
      <c r="H6" s="2"/>
      <c r="I6" s="2"/>
    </row>
    <row r="7" customFormat="false" ht="15" hidden="false" customHeight="false" outlineLevel="0" collapsed="false">
      <c r="A7" s="8" t="s">
        <v>113</v>
      </c>
      <c r="B7" s="17" t="n">
        <f aca="false">Assumptions!C14</f>
        <v>195</v>
      </c>
      <c r="C7" s="17" t="n">
        <f aca="false">Assumptions!C15</f>
        <v>1200</v>
      </c>
      <c r="D7" s="17" t="n">
        <f aca="false">Assumptions!C16</f>
        <v>3500</v>
      </c>
      <c r="E7" s="17" t="n">
        <f aca="false">Assumptions!C17</f>
        <v>8000</v>
      </c>
      <c r="F7" s="17" t="n">
        <f aca="false">Assumptions!C18</f>
        <v>16000</v>
      </c>
      <c r="G7" s="2"/>
      <c r="H7" s="2"/>
      <c r="I7" s="2"/>
    </row>
    <row r="8" customFormat="false" ht="15" hidden="false" customHeight="false" outlineLevel="0" collapsed="false">
      <c r="A8" s="5" t="s">
        <v>114</v>
      </c>
      <c r="B8" s="17" t="n">
        <f aca="false">Assumptions!D14</f>
        <v>195</v>
      </c>
      <c r="C8" s="17" t="n">
        <f aca="false">Assumptions!D15</f>
        <v>2000</v>
      </c>
      <c r="D8" s="17" t="n">
        <f aca="false">Assumptions!D16</f>
        <v>6000</v>
      </c>
      <c r="E8" s="17" t="n">
        <f aca="false">Assumptions!D17</f>
        <v>14000</v>
      </c>
      <c r="F8" s="17" t="n">
        <f aca="false">Assumptions!D18</f>
        <v>28000</v>
      </c>
      <c r="G8" s="2"/>
      <c r="H8" s="2"/>
      <c r="I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</row>
    <row r="10" customFormat="false" ht="15" hidden="false" customHeight="false" outlineLevel="0" collapsed="false">
      <c r="A10" s="18" t="s">
        <v>115</v>
      </c>
      <c r="B10" s="11"/>
      <c r="C10" s="11"/>
      <c r="D10" s="11"/>
      <c r="E10" s="11"/>
      <c r="F10" s="11"/>
      <c r="G10" s="2"/>
      <c r="H10" s="2"/>
      <c r="I10" s="2"/>
    </row>
    <row r="11" customFormat="false" ht="15" hidden="false" customHeight="false" outlineLevel="0" collapsed="false">
      <c r="A11" s="5" t="s">
        <v>116</v>
      </c>
      <c r="B11" s="19" t="n">
        <f aca="false">B7</f>
        <v>195</v>
      </c>
      <c r="C11" s="19" t="n">
        <f aca="false">C7-B7</f>
        <v>1005</v>
      </c>
      <c r="D11" s="19" t="n">
        <f aca="false">D7-C7</f>
        <v>2300</v>
      </c>
      <c r="E11" s="19" t="n">
        <f aca="false">E7-D7</f>
        <v>4500</v>
      </c>
      <c r="F11" s="19" t="n">
        <f aca="false">F7-E7</f>
        <v>8000</v>
      </c>
      <c r="G11" s="2"/>
      <c r="H11" s="2"/>
      <c r="I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9.7" hidden="false" customHeight="false" outlineLevel="0" collapsed="false">
      <c r="A2" s="3" t="s">
        <v>117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4" t="s">
        <v>118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16" t="s">
        <v>119</v>
      </c>
      <c r="B5" s="16" t="s">
        <v>107</v>
      </c>
      <c r="C5" s="16" t="s">
        <v>108</v>
      </c>
      <c r="D5" s="16" t="s">
        <v>109</v>
      </c>
      <c r="E5" s="16" t="s">
        <v>110</v>
      </c>
      <c r="F5" s="16" t="s">
        <v>111</v>
      </c>
      <c r="G5" s="2"/>
      <c r="H5" s="2"/>
      <c r="I5" s="2"/>
    </row>
    <row r="6" customFormat="false" ht="15" hidden="false" customHeight="false" outlineLevel="0" collapsed="false">
      <c r="A6" s="5" t="s">
        <v>120</v>
      </c>
      <c r="B6" s="20" t="n">
        <f aca="false">Assumptions!C21</f>
        <v>60</v>
      </c>
      <c r="C6" s="20" t="n">
        <f aca="false">(Assumptions!C21+Assumptions!C22)/2</f>
        <v>130</v>
      </c>
      <c r="D6" s="20" t="n">
        <f aca="false">Assumptions!C22</f>
        <v>200</v>
      </c>
      <c r="E6" s="20" t="n">
        <f aca="false">(Assumptions!C22+Assumptions!C23)/2</f>
        <v>310</v>
      </c>
      <c r="F6" s="20" t="n">
        <f aca="false">Assumptions!C23</f>
        <v>420</v>
      </c>
      <c r="G6" s="2"/>
      <c r="H6" s="2"/>
      <c r="I6" s="2"/>
    </row>
    <row r="7" customFormat="false" ht="15" hidden="false" customHeight="false" outlineLevel="0" collapsed="false">
      <c r="A7" s="5" t="s">
        <v>121</v>
      </c>
      <c r="B7" s="17" t="n">
        <f aca="false">Node_Rollout!B7</f>
        <v>195</v>
      </c>
      <c r="C7" s="17" t="n">
        <f aca="false">Node_Rollout!C7</f>
        <v>1200</v>
      </c>
      <c r="D7" s="17" t="n">
        <f aca="false">Node_Rollout!D7</f>
        <v>3500</v>
      </c>
      <c r="E7" s="17" t="n">
        <f aca="false">Node_Rollout!E7</f>
        <v>8000</v>
      </c>
      <c r="F7" s="17" t="n">
        <f aca="false">Node_Rollout!F7</f>
        <v>16000</v>
      </c>
      <c r="G7" s="2"/>
      <c r="H7" s="2"/>
      <c r="I7" s="2"/>
    </row>
    <row r="8" customFormat="false" ht="15" hidden="false" customHeight="false" outlineLevel="0" collapsed="false">
      <c r="A8" s="8" t="s">
        <v>122</v>
      </c>
      <c r="B8" s="21" t="n">
        <f aca="false">B6*B7*12*0.55</f>
        <v>77220</v>
      </c>
      <c r="C8" s="21" t="n">
        <f aca="false">C6*C7*12*0.8</f>
        <v>1497600</v>
      </c>
      <c r="D8" s="21" t="n">
        <f aca="false">D6*D7*12*0.9</f>
        <v>7560000</v>
      </c>
      <c r="E8" s="21" t="n">
        <f aca="false">E6*E7*12*0.9</f>
        <v>26784000</v>
      </c>
      <c r="F8" s="21" t="n">
        <f aca="false">F6*F7*12*0.9</f>
        <v>72576000</v>
      </c>
      <c r="G8" s="2"/>
      <c r="H8" s="2"/>
      <c r="I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</row>
    <row r="10" customFormat="false" ht="15" hidden="false" customHeight="false" outlineLevel="0" collapsed="false">
      <c r="A10" s="22" t="s">
        <v>123</v>
      </c>
      <c r="B10" s="2"/>
      <c r="C10" s="2"/>
      <c r="D10" s="2"/>
      <c r="E10" s="2"/>
      <c r="F10" s="2"/>
      <c r="G10" s="2"/>
      <c r="H10" s="2"/>
      <c r="I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4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9.7" hidden="false" customHeight="false" outlineLevel="0" collapsed="false">
      <c r="A2" s="3" t="s">
        <v>124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4" t="s">
        <v>125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16" t="s">
        <v>126</v>
      </c>
      <c r="B5" s="16" t="s">
        <v>107</v>
      </c>
      <c r="C5" s="16" t="s">
        <v>108</v>
      </c>
      <c r="D5" s="16" t="s">
        <v>109</v>
      </c>
      <c r="E5" s="16" t="s">
        <v>110</v>
      </c>
      <c r="F5" s="16" t="s">
        <v>111</v>
      </c>
      <c r="G5" s="2"/>
      <c r="H5" s="2"/>
      <c r="I5" s="2"/>
    </row>
    <row r="6" customFormat="false" ht="15" hidden="false" customHeight="false" outlineLevel="0" collapsed="false">
      <c r="A6" s="5" t="s">
        <v>127</v>
      </c>
      <c r="B6" s="20" t="n">
        <f aca="false">Validator_Fees!B8*Assumptions!C24</f>
        <v>27027</v>
      </c>
      <c r="C6" s="20" t="n">
        <f aca="false">Validator_Fees!C8*Assumptions!C24</f>
        <v>524160</v>
      </c>
      <c r="D6" s="20" t="n">
        <f aca="false">Validator_Fees!D8*Assumptions!C24</f>
        <v>2646000</v>
      </c>
      <c r="E6" s="20" t="n">
        <f aca="false">Validator_Fees!E8*Assumptions!C24</f>
        <v>9374400</v>
      </c>
      <c r="F6" s="20" t="n">
        <f aca="false">Validator_Fees!F8*Assumptions!C24</f>
        <v>25401600</v>
      </c>
      <c r="G6" s="2"/>
      <c r="H6" s="2"/>
      <c r="I6" s="2"/>
    </row>
    <row r="7" customFormat="false" ht="15" hidden="false" customHeight="false" outlineLevel="0" collapsed="false">
      <c r="A7" s="5" t="s">
        <v>128</v>
      </c>
      <c r="B7" s="20" t="n">
        <f aca="false">Node_Rollout!B11*Assumptions!C9</f>
        <v>315900</v>
      </c>
      <c r="C7" s="20" t="n">
        <f aca="false">Node_Rollout!C11*Assumptions!C9</f>
        <v>1628100</v>
      </c>
      <c r="D7" s="20" t="n">
        <f aca="false">Node_Rollout!D11*Assumptions!C9</f>
        <v>3726000</v>
      </c>
      <c r="E7" s="20" t="n">
        <f aca="false">Node_Rollout!E11*Assumptions!C9</f>
        <v>7290000</v>
      </c>
      <c r="F7" s="20" t="n">
        <f aca="false">Node_Rollout!F11*Assumptions!C9</f>
        <v>12960000</v>
      </c>
      <c r="G7" s="2"/>
      <c r="H7" s="2"/>
      <c r="I7" s="2"/>
    </row>
    <row r="8" customFormat="false" ht="15" hidden="false" customHeight="false" outlineLevel="0" collapsed="false">
      <c r="A8" s="5" t="s">
        <v>129</v>
      </c>
      <c r="B8" s="20" t="n">
        <f aca="false">Node_Rollout!B11*(Assumptions!C8-Assumptions!C10)</f>
        <v>18525</v>
      </c>
      <c r="C8" s="20" t="n">
        <f aca="false">Node_Rollout!C11*(Assumptions!C8-Assumptions!C10)</f>
        <v>95475</v>
      </c>
      <c r="D8" s="20" t="n">
        <f aca="false">Node_Rollout!D11*(Assumptions!C8-Assumptions!C10)</f>
        <v>218500</v>
      </c>
      <c r="E8" s="20" t="n">
        <f aca="false">Node_Rollout!E11*(Assumptions!C8-Assumptions!C10)</f>
        <v>427500</v>
      </c>
      <c r="F8" s="20" t="n">
        <f aca="false">Node_Rollout!F11*(Assumptions!C8-Assumptions!C10)</f>
        <v>760000</v>
      </c>
      <c r="G8" s="2"/>
      <c r="H8" s="2"/>
      <c r="I8" s="2"/>
    </row>
    <row r="9" customFormat="false" ht="15" hidden="false" customHeight="false" outlineLevel="0" collapsed="false">
      <c r="A9" s="1" t="s">
        <v>130</v>
      </c>
      <c r="B9" s="23" t="n">
        <f aca="false">SUM(B6:B8)</f>
        <v>361452</v>
      </c>
      <c r="C9" s="23" t="n">
        <f aca="false">SUM(C6:C8)</f>
        <v>2247735</v>
      </c>
      <c r="D9" s="23" t="n">
        <f aca="false">SUM(D6:D8)</f>
        <v>6590500</v>
      </c>
      <c r="E9" s="23" t="n">
        <f aca="false">SUM(E6:E8)</f>
        <v>17091900</v>
      </c>
      <c r="F9" s="23" t="n">
        <f aca="false">SUM(F6:F8)</f>
        <v>39121600</v>
      </c>
      <c r="G9" s="2"/>
      <c r="H9" s="2"/>
      <c r="I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4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9.7" hidden="false" customHeight="false" outlineLevel="0" collapsed="false">
      <c r="A2" s="3" t="s">
        <v>131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4" t="s">
        <v>132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16" t="s">
        <v>133</v>
      </c>
      <c r="B5" s="16" t="s">
        <v>107</v>
      </c>
      <c r="C5" s="16" t="s">
        <v>108</v>
      </c>
      <c r="D5" s="16" t="s">
        <v>109</v>
      </c>
      <c r="E5" s="16" t="s">
        <v>110</v>
      </c>
      <c r="F5" s="16" t="s">
        <v>111</v>
      </c>
      <c r="G5" s="2"/>
      <c r="H5" s="2"/>
      <c r="I5" s="2"/>
    </row>
    <row r="6" customFormat="false" ht="15" hidden="false" customHeight="false" outlineLevel="0" collapsed="false">
      <c r="A6" s="8" t="s">
        <v>134</v>
      </c>
      <c r="B6" s="24" t="n">
        <f aca="false">Revenue_Build!B9</f>
        <v>361452</v>
      </c>
      <c r="C6" s="24" t="n">
        <f aca="false">Revenue_Build!C9</f>
        <v>2247735</v>
      </c>
      <c r="D6" s="24" t="n">
        <f aca="false">Revenue_Build!D9</f>
        <v>6590500</v>
      </c>
      <c r="E6" s="24" t="n">
        <f aca="false">Revenue_Build!E9</f>
        <v>17091900</v>
      </c>
      <c r="F6" s="24" t="n">
        <f aca="false">Revenue_Build!F9</f>
        <v>39121600</v>
      </c>
      <c r="G6" s="2"/>
      <c r="H6" s="2"/>
      <c r="I6" s="2"/>
    </row>
    <row r="7" customFormat="false" ht="15" hidden="false" customHeight="false" outlineLevel="0" collapsed="false">
      <c r="A7" s="7" t="s">
        <v>135</v>
      </c>
      <c r="B7" s="19" t="n">
        <f aca="false">ROUND(Assumptions!C27+(Assumptions!C28-Assumptions!C27)*0,0)</f>
        <v>8</v>
      </c>
      <c r="C7" s="19" t="n">
        <f aca="false">ROUND(Assumptions!C27+(Assumptions!C28-Assumptions!C27)*0.25,0)</f>
        <v>16</v>
      </c>
      <c r="D7" s="19" t="n">
        <f aca="false">ROUND(Assumptions!C27+(Assumptions!C28-Assumptions!C27)*0.5,0)</f>
        <v>24</v>
      </c>
      <c r="E7" s="19" t="n">
        <f aca="false">ROUND(Assumptions!C27+(Assumptions!C28-Assumptions!C27)*0.75,0)</f>
        <v>32</v>
      </c>
      <c r="F7" s="19" t="n">
        <f aca="false">ROUND(Assumptions!C27+(Assumptions!C28-Assumptions!C27)*1,0)</f>
        <v>40</v>
      </c>
      <c r="G7" s="2"/>
      <c r="H7" s="2"/>
      <c r="I7" s="2"/>
    </row>
    <row r="8" customFormat="false" ht="15" hidden="false" customHeight="false" outlineLevel="0" collapsed="false">
      <c r="A8" s="5" t="s">
        <v>136</v>
      </c>
      <c r="B8" s="25" t="n">
        <f aca="false">-B7*Assumptions!C29</f>
        <v>-1400000</v>
      </c>
      <c r="C8" s="25" t="n">
        <f aca="false">-C7*Assumptions!C29</f>
        <v>-2800000</v>
      </c>
      <c r="D8" s="25" t="n">
        <f aca="false">-D7*Assumptions!C29</f>
        <v>-4200000</v>
      </c>
      <c r="E8" s="25" t="n">
        <f aca="false">-E7*Assumptions!C29</f>
        <v>-5600000</v>
      </c>
      <c r="F8" s="25" t="n">
        <f aca="false">-F7*Assumptions!C29</f>
        <v>-7000000</v>
      </c>
      <c r="G8" s="2"/>
      <c r="H8" s="2"/>
      <c r="I8" s="2"/>
    </row>
    <row r="9" customFormat="false" ht="15" hidden="false" customHeight="false" outlineLevel="0" collapsed="false">
      <c r="A9" s="5" t="s">
        <v>137</v>
      </c>
      <c r="B9" s="25" t="n">
        <f aca="false">-B6*Assumptions!C30</f>
        <v>-108435.6</v>
      </c>
      <c r="C9" s="25" t="n">
        <f aca="false">-C6*Assumptions!C30</f>
        <v>-674320.5</v>
      </c>
      <c r="D9" s="25" t="n">
        <f aca="false">-D6*Assumptions!C30</f>
        <v>-1977150</v>
      </c>
      <c r="E9" s="25" t="n">
        <f aca="false">-E6*Assumptions!C30</f>
        <v>-5127570</v>
      </c>
      <c r="F9" s="25" t="n">
        <f aca="false">-F6*Assumptions!C30</f>
        <v>-11736480</v>
      </c>
      <c r="G9" s="2"/>
      <c r="H9" s="2"/>
      <c r="I9" s="2"/>
    </row>
    <row r="10" customFormat="false" ht="15" hidden="false" customHeight="false" outlineLevel="0" collapsed="false">
      <c r="A10" s="1" t="s">
        <v>138</v>
      </c>
      <c r="B10" s="26" t="n">
        <f aca="false">B6+B8+B9</f>
        <v>-1146983.6</v>
      </c>
      <c r="C10" s="26" t="n">
        <f aca="false">C6+C8+C9</f>
        <v>-1226585.5</v>
      </c>
      <c r="D10" s="26" t="n">
        <f aca="false">D6+D8+D9</f>
        <v>413350</v>
      </c>
      <c r="E10" s="26" t="n">
        <f aca="false">E6+E8+E9</f>
        <v>6364330</v>
      </c>
      <c r="F10" s="26" t="n">
        <f aca="false">F6+F8+F9</f>
        <v>20385120</v>
      </c>
      <c r="G10" s="2"/>
      <c r="H10" s="2"/>
      <c r="I10" s="2"/>
    </row>
    <row r="11" customFormat="false" ht="15" hidden="false" customHeight="false" outlineLevel="0" collapsed="false">
      <c r="A11" s="4" t="s">
        <v>139</v>
      </c>
      <c r="B11" s="27" t="n">
        <f aca="false">IF(B6=0,0,B10/B6)</f>
        <v>-3.17326671314587</v>
      </c>
      <c r="C11" s="27" t="n">
        <f aca="false">IF(C6=0,0,C10/C6)</f>
        <v>-0.54569844754831</v>
      </c>
      <c r="D11" s="27" t="n">
        <f aca="false">IF(D6=0,0,D10/D6)</f>
        <v>0.0627190653212958</v>
      </c>
      <c r="E11" s="27" t="n">
        <f aca="false">IF(E6=0,0,E10/E6)</f>
        <v>0.372359421714379</v>
      </c>
      <c r="F11" s="27" t="n">
        <f aca="false">IF(F6=0,0,F10/F6)</f>
        <v>0.52107071285428</v>
      </c>
      <c r="G11" s="2"/>
      <c r="H11" s="2"/>
      <c r="I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46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19.7" hidden="false" customHeight="false" outlineLevel="0" collapsed="false">
      <c r="A2" s="3" t="s">
        <v>140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4" t="s">
        <v>141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16" t="s">
        <v>142</v>
      </c>
      <c r="B5" s="16" t="s">
        <v>143</v>
      </c>
      <c r="C5" s="16" t="s">
        <v>144</v>
      </c>
      <c r="D5" s="2"/>
      <c r="E5" s="2"/>
      <c r="F5" s="2"/>
      <c r="G5" s="2"/>
    </row>
    <row r="6" customFormat="false" ht="15" hidden="false" customHeight="false" outlineLevel="0" collapsed="false">
      <c r="A6" s="5" t="s">
        <v>145</v>
      </c>
      <c r="B6" s="28" t="n">
        <v>0.34</v>
      </c>
      <c r="C6" s="13" t="s">
        <v>146</v>
      </c>
      <c r="D6" s="2"/>
      <c r="E6" s="2"/>
      <c r="F6" s="2"/>
      <c r="G6" s="2"/>
    </row>
    <row r="7" customFormat="false" ht="15" hidden="false" customHeight="false" outlineLevel="0" collapsed="false">
      <c r="A7" s="5" t="s">
        <v>147</v>
      </c>
      <c r="B7" s="28" t="n">
        <v>0.18</v>
      </c>
      <c r="C7" s="13" t="s">
        <v>148</v>
      </c>
      <c r="D7" s="2"/>
      <c r="E7" s="2"/>
      <c r="F7" s="2"/>
      <c r="G7" s="2"/>
    </row>
    <row r="8" customFormat="false" ht="15" hidden="false" customHeight="false" outlineLevel="0" collapsed="false">
      <c r="A8" s="5" t="s">
        <v>149</v>
      </c>
      <c r="B8" s="28" t="n">
        <v>0.14</v>
      </c>
      <c r="C8" s="13" t="s">
        <v>150</v>
      </c>
      <c r="D8" s="2"/>
      <c r="E8" s="2"/>
      <c r="F8" s="2"/>
      <c r="G8" s="2"/>
    </row>
    <row r="9" customFormat="false" ht="15" hidden="false" customHeight="false" outlineLevel="0" collapsed="false">
      <c r="A9" s="5" t="s">
        <v>151</v>
      </c>
      <c r="B9" s="28" t="n">
        <v>0.14</v>
      </c>
      <c r="C9" s="13" t="s">
        <v>152</v>
      </c>
      <c r="D9" s="2"/>
      <c r="E9" s="2"/>
      <c r="F9" s="2"/>
      <c r="G9" s="2"/>
    </row>
    <row r="10" customFormat="false" ht="15" hidden="false" customHeight="false" outlineLevel="0" collapsed="false">
      <c r="A10" s="5" t="s">
        <v>153</v>
      </c>
      <c r="B10" s="28" t="n">
        <v>0.08</v>
      </c>
      <c r="C10" s="13" t="s">
        <v>154</v>
      </c>
      <c r="D10" s="2"/>
      <c r="E10" s="2"/>
      <c r="F10" s="2"/>
      <c r="G10" s="2"/>
    </row>
    <row r="11" customFormat="false" ht="15" hidden="false" customHeight="false" outlineLevel="0" collapsed="false">
      <c r="A11" s="5" t="s">
        <v>155</v>
      </c>
      <c r="B11" s="28" t="n">
        <v>0.12</v>
      </c>
      <c r="C11" s="13" t="s">
        <v>156</v>
      </c>
      <c r="D11" s="2"/>
      <c r="E11" s="2"/>
      <c r="F11" s="2"/>
      <c r="G11" s="2"/>
    </row>
    <row r="12" customFormat="false" ht="15" hidden="false" customHeight="false" outlineLevel="0" collapsed="false">
      <c r="A12" s="6" t="s">
        <v>157</v>
      </c>
      <c r="B12" s="29" t="n">
        <f aca="false">SUM(B6:B11)</f>
        <v>1</v>
      </c>
      <c r="C12" s="2"/>
      <c r="D12" s="2"/>
      <c r="E12" s="2"/>
      <c r="F12" s="2"/>
      <c r="G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5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9.7" hidden="false" customHeight="false" outlineLevel="0" collapsed="false">
      <c r="A2" s="3" t="s">
        <v>158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4" t="s">
        <v>159</v>
      </c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16" t="s">
        <v>160</v>
      </c>
      <c r="B5" s="16" t="s">
        <v>65</v>
      </c>
      <c r="C5" s="16" t="s">
        <v>66</v>
      </c>
      <c r="D5" s="16" t="s">
        <v>67</v>
      </c>
      <c r="E5" s="16" t="s">
        <v>161</v>
      </c>
      <c r="F5" s="2"/>
      <c r="G5" s="2"/>
      <c r="H5" s="2"/>
    </row>
    <row r="6" customFormat="false" ht="15" hidden="false" customHeight="false" outlineLevel="0" collapsed="false">
      <c r="A6" s="5" t="s">
        <v>162</v>
      </c>
      <c r="B6" s="19" t="n">
        <f aca="false">Assumptions!B18</f>
        <v>7000</v>
      </c>
      <c r="C6" s="19" t="n">
        <f aca="false">Assumptions!C18</f>
        <v>16000</v>
      </c>
      <c r="D6" s="19" t="n">
        <f aca="false">Assumptions!D18</f>
        <v>28000</v>
      </c>
      <c r="E6" s="13" t="s">
        <v>62</v>
      </c>
      <c r="F6" s="2"/>
      <c r="G6" s="2"/>
      <c r="H6" s="2"/>
    </row>
    <row r="7" customFormat="false" ht="15" hidden="false" customHeight="false" outlineLevel="0" collapsed="false">
      <c r="A7" s="5" t="s">
        <v>163</v>
      </c>
      <c r="B7" s="20" t="n">
        <f aca="false">Assumptions!B23</f>
        <v>260</v>
      </c>
      <c r="C7" s="20" t="n">
        <f aca="false">Assumptions!C23</f>
        <v>420</v>
      </c>
      <c r="D7" s="20" t="n">
        <f aca="false">Assumptions!D23</f>
        <v>650</v>
      </c>
      <c r="E7" s="13" t="s">
        <v>62</v>
      </c>
      <c r="F7" s="2"/>
      <c r="G7" s="2"/>
      <c r="H7" s="2"/>
    </row>
    <row r="8" customFormat="false" ht="15" hidden="false" customHeight="false" outlineLevel="0" collapsed="false">
      <c r="A8" s="5" t="s">
        <v>164</v>
      </c>
      <c r="B8" s="20" t="n">
        <f aca="false">B6*B7*12*0.9</f>
        <v>19656000</v>
      </c>
      <c r="C8" s="20" t="n">
        <f aca="false">C6*C7*12*0.9</f>
        <v>72576000</v>
      </c>
      <c r="D8" s="20" t="n">
        <f aca="false">D6*D7*12*0.9</f>
        <v>196560000</v>
      </c>
      <c r="E8" s="13" t="s">
        <v>165</v>
      </c>
      <c r="F8" s="2"/>
      <c r="G8" s="2"/>
      <c r="H8" s="2"/>
    </row>
    <row r="9" customFormat="false" ht="15" hidden="false" customHeight="false" outlineLevel="0" collapsed="false">
      <c r="A9" s="5" t="s">
        <v>166</v>
      </c>
      <c r="B9" s="20" t="n">
        <f aca="false">B8*Assumptions!B24</f>
        <v>5896800</v>
      </c>
      <c r="C9" s="20" t="n">
        <f aca="false">C8*Assumptions!C24</f>
        <v>25401600</v>
      </c>
      <c r="D9" s="20" t="n">
        <f aca="false">D8*Assumptions!D24</f>
        <v>78624000</v>
      </c>
      <c r="E9" s="13" t="s">
        <v>167</v>
      </c>
      <c r="F9" s="2"/>
      <c r="G9" s="2"/>
      <c r="H9" s="2"/>
    </row>
    <row r="10" customFormat="false" ht="15" hidden="false" customHeight="false" outlineLevel="0" collapsed="false">
      <c r="A10" s="5" t="s">
        <v>168</v>
      </c>
      <c r="B10" s="20" t="n">
        <f aca="false">(Assumptions!B18-Assumptions!B17)*Assumptions!B9</f>
        <v>5670000</v>
      </c>
      <c r="C10" s="20" t="n">
        <f aca="false">(Assumptions!C18-Assumptions!C17)*Assumptions!C9</f>
        <v>12960000</v>
      </c>
      <c r="D10" s="20" t="n">
        <f aca="false">(Assumptions!D18-Assumptions!D17)*Assumptions!D9</f>
        <v>22680000</v>
      </c>
      <c r="E10" s="13" t="s">
        <v>169</v>
      </c>
      <c r="F10" s="2"/>
      <c r="G10" s="2"/>
      <c r="H10" s="2"/>
    </row>
    <row r="11" customFormat="false" ht="15" hidden="false" customHeight="false" outlineLevel="0" collapsed="false">
      <c r="A11" s="5" t="s">
        <v>170</v>
      </c>
      <c r="B11" s="20" t="n">
        <f aca="false">(Assumptions!B18-Assumptions!B17)*(Assumptions!B8-Assumptions!B10)</f>
        <v>280000</v>
      </c>
      <c r="C11" s="20" t="n">
        <f aca="false">(Assumptions!C18-Assumptions!C17)*(Assumptions!C8-Assumptions!C10)</f>
        <v>760000</v>
      </c>
      <c r="D11" s="20" t="n">
        <f aca="false">(Assumptions!D18-Assumptions!D17)*(Assumptions!D8-Assumptions!D10)</f>
        <v>1540000</v>
      </c>
      <c r="E11" s="13" t="s">
        <v>171</v>
      </c>
      <c r="F11" s="2"/>
      <c r="G11" s="2"/>
      <c r="H11" s="2"/>
    </row>
    <row r="12" customFormat="false" ht="15" hidden="false" customHeight="false" outlineLevel="0" collapsed="false">
      <c r="A12" s="6" t="s">
        <v>172</v>
      </c>
      <c r="B12" s="21" t="n">
        <f aca="false">B9+B10+B11</f>
        <v>11846800</v>
      </c>
      <c r="C12" s="21" t="n">
        <f aca="false">C9+C10+C11</f>
        <v>39121600</v>
      </c>
      <c r="D12" s="21" t="n">
        <f aca="false">D9+D10+D11</f>
        <v>102844000</v>
      </c>
      <c r="E12" s="13" t="s">
        <v>173</v>
      </c>
      <c r="F12" s="2"/>
      <c r="G12" s="2"/>
      <c r="H12" s="2"/>
    </row>
    <row r="13" customFormat="false" ht="15" hidden="false" customHeight="false" outlineLevel="0" collapsed="false">
      <c r="A13" s="5" t="s">
        <v>174</v>
      </c>
      <c r="B13" s="30" t="n">
        <f aca="false">Assumptions!B33</f>
        <v>10</v>
      </c>
      <c r="C13" s="30" t="n">
        <f aca="false">Assumptions!C33</f>
        <v>12</v>
      </c>
      <c r="D13" s="30" t="n">
        <f aca="false">Assumptions!D33</f>
        <v>15</v>
      </c>
      <c r="E13" s="13" t="s">
        <v>62</v>
      </c>
      <c r="F13" s="2"/>
      <c r="G13" s="2"/>
      <c r="H13" s="2"/>
    </row>
    <row r="14" customFormat="false" ht="15" hidden="false" customHeight="false" outlineLevel="0" collapsed="false">
      <c r="A14" s="6" t="s">
        <v>175</v>
      </c>
      <c r="B14" s="31" t="n">
        <f aca="false">B12*B13</f>
        <v>118468000</v>
      </c>
      <c r="C14" s="31" t="n">
        <f aca="false">C12*C13</f>
        <v>469459200</v>
      </c>
      <c r="D14" s="31" t="n">
        <f aca="false">D12*D13</f>
        <v>1542660000</v>
      </c>
      <c r="E14" s="13" t="s">
        <v>176</v>
      </c>
      <c r="F14" s="2"/>
      <c r="G14" s="2"/>
      <c r="H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32" t="s">
        <v>177</v>
      </c>
      <c r="B16" s="2"/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A17" s="22" t="s">
        <v>178</v>
      </c>
      <c r="B17" s="2"/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2026-06-21T00:54:43Z</dcterms:created>
  <dc:creator>openpyxl</dc:creator>
  <dc:description/>
  <dc:language>en-US</dc:language>
  <cp:lastModifiedBy/>
  <dcterms:modified xsi:type="dcterms:W3CDTF">2026-06-21T00:54:43Z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